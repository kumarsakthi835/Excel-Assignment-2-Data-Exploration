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Entri\A2\"/>
    </mc:Choice>
  </mc:AlternateContent>
  <xr:revisionPtr revIDLastSave="0" documentId="13_ncr:1_{0F4EC2DC-47A7-46E7-99BF-C3A06314A5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definedNames>
    <definedName name="_xlnm._FilterDatabase" localSheetId="0" hidden="1">Dataset!$A$2:$I$36</definedName>
  </definedNames>
  <calcPr calcId="181029"/>
  <extLs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" i="1"/>
</calcChain>
</file>

<file path=xl/sharedStrings.xml><?xml version="1.0" encoding="utf-8"?>
<sst xmlns="http://schemas.openxmlformats.org/spreadsheetml/2006/main" count="358" uniqueCount="159">
  <si>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</si>
  <si>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</si>
  <si>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</si>
  <si>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</si>
  <si>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</si>
  <si>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</si>
  <si>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</si>
  <si>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</si>
  <si>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</si>
  <si>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</si>
  <si>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</si>
  <si>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</si>
  <si>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</si>
  <si>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</si>
  <si>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</si>
  <si>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</si>
  <si>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</si>
  <si>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</si>
  <si>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</si>
  <si>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</si>
  <si>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</si>
  <si>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</si>
  <si>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</si>
  <si>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</si>
  <si>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</si>
  <si>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</si>
  <si>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</si>
  <si>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</si>
  <si>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</si>
  <si>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</si>
  <si>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</si>
  <si>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</si>
  <si>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</si>
  <si>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</si>
  <si>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</si>
  <si>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</si>
  <si>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</si>
  <si>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</si>
  <si>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</si>
  <si>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</si>
  <si>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</si>
  <si>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</si>
  <si>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</si>
  <si>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</si>
  <si>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</si>
  <si>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</si>
  <si>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</si>
  <si>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</si>
  <si>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</si>
  <si>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</si>
  <si>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</si>
  <si>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</si>
  <si>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</si>
  <si>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</si>
  <si>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</si>
  <si>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</si>
  <si>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</si>
  <si>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</si>
  <si>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</si>
  <si>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</si>
  <si>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</si>
  <si>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</si>
  <si>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</si>
  <si>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</si>
  <si>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</si>
  <si>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</si>
  <si>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</si>
  <si>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</si>
  <si>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</si>
  <si>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</si>
  <si>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</si>
  <si>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</si>
  <si>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</si>
  <si>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</si>
  <si>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</si>
  <si>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</si>
  <si>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</si>
  <si>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</si>
  <si>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</si>
  <si>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</si>
  <si>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</si>
  <si>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</si>
  <si>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</si>
  <si>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</si>
  <si>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</si>
  <si>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</si>
  <si>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</si>
  <si>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</si>
  <si>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</si>
  <si>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</si>
  <si>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</si>
  <si>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</si>
  <si>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</si>
  <si>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</si>
  <si>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</si>
  <si>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</si>
  <si>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</si>
  <si>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Handling Missing values( Price)</t>
  </si>
  <si>
    <t>Handling Missing values( Category)</t>
  </si>
  <si>
    <t xml:space="preserve">Inconsistent text formats </t>
  </si>
  <si>
    <t xml:space="preserve">Typos present </t>
  </si>
  <si>
    <t>Duplicate Product ID</t>
  </si>
  <si>
    <t>Removed Duplicate in Product ID2</t>
  </si>
  <si>
    <t>Manufacturing date</t>
  </si>
  <si>
    <t>Country code</t>
  </si>
  <si>
    <t>Manufacturing date2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</si>
  <si>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</si>
  <si>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</si>
  <si>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</si>
  <si>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</si>
  <si>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</si>
  <si>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</si>
  <si>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</si>
  <si>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</si>
  <si>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</si>
  <si>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</si>
  <si>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</si>
  <si>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</si>
  <si>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</si>
  <si>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</si>
  <si>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</si>
  <si>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</si>
  <si>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</si>
  <si>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</si>
  <si>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</si>
  <si>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</si>
  <si>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</si>
  <si>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</si>
  <si>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</si>
  <si>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</si>
  <si>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</si>
  <si>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</si>
  <si>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</si>
  <si>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</si>
  <si>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</si>
  <si>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</si>
  <si>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</si>
  <si>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</si>
  <si>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</si>
  <si>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</si>
  <si>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</si>
  <si>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</si>
  <si>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</si>
  <si>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</si>
  <si>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</si>
  <si>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</si>
  <si>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</si>
  <si>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</si>
  <si>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Concatenation</t>
  </si>
  <si>
    <t>Correcting Inconsistent Data</t>
  </si>
  <si>
    <t>Handling Missing Values</t>
  </si>
  <si>
    <t>Removing Duplicates</t>
  </si>
  <si>
    <t>Splitting and Merging Data</t>
  </si>
  <si>
    <t>Number Formatting</t>
  </si>
  <si>
    <t>Price</t>
  </si>
  <si>
    <t>Conditional Formatting</t>
  </si>
  <si>
    <t>Color scale for Price</t>
  </si>
  <si>
    <t xml:space="preserve">Conditional formatting 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</si>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</sst>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  <font>
      <b/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4DD0E1"/>
      </patternFill>
    </fill>
    <fill>
      <patternFill patternType="solid">
        <fgColor theme="7" tint="0.59999389629810485"/>
        <bgColor rgb="FF4DD0E1"/>
      </patternFill>
    </fill>
    <fill>
      <patternFill patternType="solid">
        <fgColor theme="8" tint="0.59999389629810485"/>
        <bgColor rgb="FF4DD0E1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/>
    </xf>
    <xf numFmtId="0" fontId="4" fillId="0" borderId="0" xfId="0" applyFont="1"/>
    <xf numFmtId="0" fontId="3" fillId="3" borderId="0" xfId="0" applyFont="1" applyFill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4" fillId="9" borderId="0" xfId="0" applyNumberFormat="1" applyFont="1" applyFill="1"/>
    <xf numFmtId="0" fontId="4" fillId="9" borderId="0" xfId="0" applyFont="1" applyFill="1"/>
    <xf numFmtId="0" fontId="8" fillId="10" borderId="0" xfId="0" applyFont="1" applyFill="1"/>
    <xf numFmtId="0" fontId="4" fillId="10" borderId="0" xfId="0" applyFont="1" applyFill="1"/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FFFF00"/>
          <bgColor rgb="FF000000"/>
        </patternFill>
      </fill>
    </dxf>
    <dxf>
      <font>
        <color auto="1"/>
      </font>
      <fill>
        <patternFill>
          <bgColor rgb="FFFF0000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0" indent="0" justifyLastLine="0" shrinkToFit="0" readingOrder="0"/>
    </dxf>
    <dxf>
      <numFmt numFmtId="164" formatCode="&quot;£&quot;#,##0.00"/>
      <alignment horizontal="center" vertical="center" textRotation="0" wrapText="0" indent="0" justifyLastLine="0" shrinkToFit="0" readingOrder="0"/>
    </dxf>
    <dxf>
      <numFmt numFmtId="0" formatCode="General"/>
    </dxf>
    <dxf>
      <numFmt numFmtId="164" formatCode="&quot;£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32E5E7-51A4-410D-839A-6CE658C83065}" name="data" displayName="data" ref="A2:S36" totalsRowShown="0">
  <tableColumns count="19">
    <tableColumn id="1" xr3:uid="{513C14DC-84F7-4E66-A750-81B568898641}" name="Product ID" dataDxfId="21"/>
    <tableColumn id="2" xr3:uid="{19A05831-E01A-4EEF-83E6-FF3A4D87D7E6}" name="Product Name" dataDxfId="20"/>
    <tableColumn id="3" xr3:uid="{A2BA19D4-97B3-40B7-8A2F-C746B314A6F7}" name="Brand Name" dataDxfId="19"/>
    <tableColumn id="4" xr3:uid="{F73A01F3-B871-424C-BD53-9E35B5E50994}" name="Price ($)" dataDxfId="18"/>
    <tableColumn id="5" xr3:uid="{C5CE8A87-145F-465D-9EEA-1BF7B0066AAE}" name="Quantity" dataDxfId="17"/>
    <tableColumn id="6" xr3:uid="{91648B38-E1D9-4C2B-82B4-471121756665}" name="Category" dataDxfId="16"/>
    <tableColumn id="7" xr3:uid="{9250FB77-9722-472C-8517-5C6D8DC38A6E}" name="Handling Missing values( Price)" dataDxfId="15">
      <calculatedColumnFormula>IF(data[[#This Row],[Price ($)]]="",MEDIAN(data[Price ($)]),data[[#This Row],[Price ($)]])</calculatedColumnFormula>
    </tableColumn>
    <tableColumn id="8" xr3:uid="{7F4E7D00-94D2-4541-8C8F-7338D5AC7629}" name="Handling Missing values( Category)" dataDxfId="14">
      <calculatedColumnFormula>IF(ISBLANK(data[Category]),"Unknown",data[Category])</calculatedColumnFormula>
    </tableColumn>
    <tableColumn id="9" xr3:uid="{DFA30DF4-48C2-43C3-95E7-CE7AC15CA44A}" name="Inconsistent text formats ">
      <calculatedColumnFormula>PROPER(B3)</calculatedColumnFormula>
    </tableColumn>
    <tableColumn id="10" xr3:uid="{4913FEA8-AD30-49A5-8C7F-2B53487F6E5B}" name="Typos present " dataDxfId="13"/>
    <tableColumn id="11" xr3:uid="{16747D9A-5992-455B-9948-3509FE283972}" name="Duplicate Product ID" dataDxfId="12"/>
    <tableColumn id="12" xr3:uid="{482EB917-7D4E-4A2E-9A2E-E31C749894BE}" name="Removed Duplicate in Product ID2" dataDxfId="11"/>
    <tableColumn id="15" xr3:uid="{DDA0907E-3C03-4CC2-A8C3-11684110A20A}" name="Manufacturing date" dataDxfId="10"/>
    <tableColumn id="16" xr3:uid="{E7BB85BC-EE36-4EE5-A897-38E5D6E2CA59}" name="Country code" dataDxfId="9"/>
    <tableColumn id="17" xr3:uid="{C5EC15B7-FECF-4078-8070-4E8AAE53C477}" name="Concatenation" dataDxfId="8">
      <calculatedColumnFormula>CONCATENATE(data[Brand Name]," ",data[Product Name])</calculatedColumnFormula>
    </tableColumn>
    <tableColumn id="18" xr3:uid="{AAF74295-ACBA-4E40-B997-71DD05D848D8}" name="Price" dataDxfId="7"/>
    <tableColumn id="19" xr3:uid="{56E6DF45-F0D5-40DD-9AE7-28A12BA66251}" name="Manufacturing date2" dataDxfId="6">
      <calculatedColumnFormula>TEXT(data[Manufacturing date],"DD-MM-YY")</calculatedColumnFormula>
    </tableColumn>
    <tableColumn id="20" xr3:uid="{9FEAE292-7520-45E4-B41B-AD9328F042F0}" name="Color scale for Price" dataDxfId="5"/>
    <tableColumn id="21" xr3:uid="{986A9CC3-4BD2-4CAA-89C6-7A7028DBA090}" name="Conditional formatting 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1"/>
  <sheetViews>
    <sheetView tabSelected="1" workbookViewId="0">
      <selection activeCell="A3" sqref="A3"/>
    </sheetView>
  </sheetViews>
  <sheetFormatPr defaultColWidth="12.6328125" defaultRowHeight="15" customHeight="1" x14ac:dyDescent="0.25"/>
  <cols>
    <col min="1" max="1" width="10.54296875" bestFit="1" customWidth="1"/>
    <col min="2" max="2" width="13.36328125" bestFit="1" customWidth="1"/>
    <col min="3" max="3" width="11.36328125" bestFit="1" customWidth="1"/>
    <col min="4" max="4" width="8" bestFit="1" customWidth="1"/>
    <col min="5" max="5" width="8.1796875" bestFit="1" customWidth="1"/>
    <col min="6" max="6" width="10.54296875" bestFit="1" customWidth="1"/>
    <col min="7" max="7" width="38.453125" style="5" customWidth="1"/>
    <col min="8" max="8" width="31.7265625" style="5" bestFit="1" customWidth="1"/>
    <col min="9" max="9" width="23.1796875" bestFit="1" customWidth="1"/>
    <col min="10" max="10" width="13.90625" bestFit="1" customWidth="1"/>
    <col min="11" max="11" width="18.6328125" bestFit="1" customWidth="1"/>
    <col min="12" max="12" width="30.54296875" bestFit="1" customWidth="1"/>
    <col min="13" max="13" width="18.7265625" bestFit="1" customWidth="1"/>
    <col min="14" max="14" width="13.54296875" bestFit="1" customWidth="1"/>
    <col min="15" max="15" width="20.54296875" bestFit="1" customWidth="1"/>
    <col min="16" max="16" width="12.6328125" style="14"/>
    <col min="17" max="17" width="18.7265625" bestFit="1" customWidth="1"/>
    <col min="18" max="18" width="19.08984375" bestFit="1" customWidth="1"/>
    <col min="19" max="19" width="20.7265625" bestFit="1" customWidth="1"/>
  </cols>
  <sheetData>
    <row r="1" spans="1:19" ht="15" customHeight="1" x14ac:dyDescent="0.25">
      <c r="G1" s="19" t="s">
        <v>150</v>
      </c>
      <c r="H1" s="19"/>
      <c r="I1" s="19" t="s">
        <v>149</v>
      </c>
      <c r="J1" s="19"/>
      <c r="K1" s="19" t="s">
        <v>151</v>
      </c>
      <c r="L1" s="19"/>
      <c r="M1" s="19" t="s">
        <v>152</v>
      </c>
      <c r="N1" s="19"/>
      <c r="O1" s="19"/>
      <c r="P1" s="19" t="s">
        <v>153</v>
      </c>
      <c r="Q1" s="19"/>
      <c r="R1" s="19" t="s">
        <v>155</v>
      </c>
      <c r="S1" s="19"/>
    </row>
    <row r="2" spans="1:19" ht="15.7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8" t="s">
        <v>97</v>
      </c>
      <c r="H2" s="8" t="s">
        <v>98</v>
      </c>
      <c r="I2" s="9" t="s">
        <v>99</v>
      </c>
      <c r="J2" s="9" t="s">
        <v>100</v>
      </c>
      <c r="K2" s="10" t="s">
        <v>101</v>
      </c>
      <c r="L2" s="10" t="s">
        <v>102</v>
      </c>
      <c r="M2" s="11" t="s">
        <v>103</v>
      </c>
      <c r="N2" s="11" t="s">
        <v>104</v>
      </c>
      <c r="O2" s="11" t="s">
        <v>148</v>
      </c>
      <c r="P2" s="15" t="s">
        <v>154</v>
      </c>
      <c r="Q2" s="16" t="s">
        <v>105</v>
      </c>
      <c r="R2" s="17" t="s">
        <v>156</v>
      </c>
      <c r="S2" s="18" t="s">
        <v>157</v>
      </c>
    </row>
    <row r="3" spans="1:19" ht="15.75" customHeight="1" x14ac:dyDescent="0.25">
      <c r="A3" s="2" t="s">
        <v>6</v>
      </c>
      <c r="B3" s="2" t="s">
        <v>7</v>
      </c>
      <c r="C3" s="2" t="s">
        <v>8</v>
      </c>
      <c r="D3" s="2">
        <v>1000</v>
      </c>
      <c r="E3" s="2">
        <v>30</v>
      </c>
      <c r="F3" s="2" t="s">
        <v>9</v>
      </c>
      <c r="G3" s="5">
        <f>IF(data[[#This Row],[Price ($)]]="",MEDIAN(data[Price ($)]),data[[#This Row],[Price ($)]])</f>
        <v>1000</v>
      </c>
      <c r="H3" s="5" t="str">
        <f>IF(ISBLANK(data[Category]),"Unknown",data[Category])</f>
        <v>Electronics</v>
      </c>
      <c r="I3" s="4" t="str">
        <f>PROPER(B3)</f>
        <v>Laptop</v>
      </c>
      <c r="J3" s="5" t="s">
        <v>9</v>
      </c>
      <c r="K3" s="2" t="s">
        <v>6</v>
      </c>
      <c r="L3" s="2" t="s">
        <v>6</v>
      </c>
      <c r="M3" t="s">
        <v>118</v>
      </c>
      <c r="N3" t="s">
        <v>106</v>
      </c>
      <c r="O3" s="12" t="str">
        <f>CONCATENATE(data[Brand Name]," ",data[Product Name])</f>
        <v>Dell laptop</v>
      </c>
      <c r="P3" s="13">
        <v>1000</v>
      </c>
      <c r="Q3" t="str">
        <f>TEXT(data[Manufacturing date],"DD-MM-YY")</f>
        <v>28-01-26</v>
      </c>
      <c r="R3" s="13">
        <v>1000</v>
      </c>
      <c r="S3" s="5" t="s">
        <v>9</v>
      </c>
    </row>
    <row r="4" spans="1:19" ht="15.75" customHeight="1" x14ac:dyDescent="0.25">
      <c r="A4" s="3" t="s">
        <v>10</v>
      </c>
      <c r="B4" s="3" t="s">
        <v>11</v>
      </c>
      <c r="C4" s="3" t="s">
        <v>12</v>
      </c>
      <c r="D4" s="3">
        <v>80</v>
      </c>
      <c r="E4" s="3">
        <v>15</v>
      </c>
      <c r="F4" s="3" t="s">
        <v>13</v>
      </c>
      <c r="G4" s="5">
        <f>IF(data[[#This Row],[Price ($)]]="",MEDIAN(data[Price ($)]),data[[#This Row],[Price ($)]])</f>
        <v>80</v>
      </c>
      <c r="H4" s="5" t="str">
        <f>IF(ISBLANK(data[Category]),"Unknown",data[Category])</f>
        <v>Fashion</v>
      </c>
      <c r="I4" t="str">
        <f t="shared" ref="I4:I36" si="0">PROPER(B4)</f>
        <v>Sneakers</v>
      </c>
      <c r="J4" s="5" t="s">
        <v>13</v>
      </c>
      <c r="K4" s="3" t="s">
        <v>10</v>
      </c>
      <c r="L4" s="3" t="s">
        <v>10</v>
      </c>
      <c r="M4" s="2" t="s">
        <v>119</v>
      </c>
      <c r="N4" t="s">
        <v>106</v>
      </c>
      <c r="O4" s="12" t="str">
        <f>CONCATENATE(data[Brand Name]," ",data[Product Name])</f>
        <v>Nike Sneakers</v>
      </c>
      <c r="P4" s="13">
        <v>80</v>
      </c>
      <c r="Q4" t="str">
        <f>TEXT(data[Manufacturing date],"DD-MM-YY")</f>
        <v>15-02-26</v>
      </c>
      <c r="R4" s="13">
        <v>80</v>
      </c>
      <c r="S4" s="5" t="s">
        <v>13</v>
      </c>
    </row>
    <row r="5" spans="1:19" ht="15.75" customHeight="1" x14ac:dyDescent="0.25">
      <c r="A5" s="2" t="s">
        <v>14</v>
      </c>
      <c r="B5" s="2" t="s">
        <v>15</v>
      </c>
      <c r="C5" s="2" t="s">
        <v>16</v>
      </c>
      <c r="D5" s="2">
        <v>130</v>
      </c>
      <c r="E5" s="2">
        <v>40</v>
      </c>
      <c r="F5" s="2" t="s">
        <v>17</v>
      </c>
      <c r="G5" s="5">
        <f>IF(data[[#This Row],[Price ($)]]="",MEDIAN(data[Price ($)]),data[[#This Row],[Price ($)]])</f>
        <v>130</v>
      </c>
      <c r="H5" s="5" t="str">
        <f>IF(ISBLANK(data[Category]),"Unknown",data[Category])</f>
        <v>Kitchen</v>
      </c>
      <c r="I5" t="str">
        <f t="shared" si="0"/>
        <v>Coffee Maker</v>
      </c>
      <c r="J5" s="5" t="s">
        <v>17</v>
      </c>
      <c r="K5" s="2" t="s">
        <v>14</v>
      </c>
      <c r="L5" s="2" t="s">
        <v>14</v>
      </c>
      <c r="M5" s="2" t="s">
        <v>120</v>
      </c>
      <c r="N5" t="s">
        <v>106</v>
      </c>
      <c r="O5" s="12" t="str">
        <f>CONCATENATE(data[Brand Name]," ",data[Product Name])</f>
        <v>Keurig Coffee Maker</v>
      </c>
      <c r="P5" s="13">
        <v>130</v>
      </c>
      <c r="Q5" t="str">
        <f>TEXT(data[Manufacturing date],"DD-MM-YY")</f>
        <v>03-03-26</v>
      </c>
      <c r="R5" s="13">
        <v>130</v>
      </c>
      <c r="S5" s="5" t="s">
        <v>17</v>
      </c>
    </row>
    <row r="6" spans="1:19" ht="15.75" customHeight="1" x14ac:dyDescent="0.25">
      <c r="A6" s="3" t="s">
        <v>18</v>
      </c>
      <c r="B6" s="3" t="s">
        <v>19</v>
      </c>
      <c r="C6" s="3" t="s">
        <v>20</v>
      </c>
      <c r="D6" s="3">
        <v>900</v>
      </c>
      <c r="E6" s="3">
        <v>25</v>
      </c>
      <c r="F6" s="3" t="s">
        <v>9</v>
      </c>
      <c r="G6" s="5">
        <f>IF(data[[#This Row],[Price ($)]]="",MEDIAN(data[Price ($)]),data[[#This Row],[Price ($)]])</f>
        <v>900</v>
      </c>
      <c r="H6" s="5" t="str">
        <f>IF(ISBLANK(data[Category]),"Unknown",data[Category])</f>
        <v>Electronics</v>
      </c>
      <c r="I6" s="4" t="str">
        <f t="shared" si="0"/>
        <v>Smartphone</v>
      </c>
      <c r="J6" s="5" t="s">
        <v>9</v>
      </c>
      <c r="K6" s="3" t="s">
        <v>18</v>
      </c>
      <c r="L6" s="3" t="s">
        <v>18</v>
      </c>
      <c r="M6" s="2" t="s">
        <v>121</v>
      </c>
      <c r="N6" t="s">
        <v>106</v>
      </c>
      <c r="O6" s="12" t="str">
        <f>CONCATENATE(data[Brand Name]," ",data[Product Name])</f>
        <v>Samsung smartphone</v>
      </c>
      <c r="P6" s="13">
        <v>900</v>
      </c>
      <c r="Q6" t="str">
        <f>TEXT(data[Manufacturing date],"DD-MM-YY")</f>
        <v>11-04-26</v>
      </c>
      <c r="R6" s="13">
        <v>900</v>
      </c>
      <c r="S6" s="5" t="s">
        <v>9</v>
      </c>
    </row>
    <row r="7" spans="1:19" ht="15.75" customHeight="1" x14ac:dyDescent="0.25">
      <c r="A7" s="2" t="s">
        <v>21</v>
      </c>
      <c r="B7" s="2" t="s">
        <v>22</v>
      </c>
      <c r="C7" s="2" t="s">
        <v>23</v>
      </c>
      <c r="D7" s="2">
        <v>70</v>
      </c>
      <c r="E7" s="2">
        <v>20</v>
      </c>
      <c r="F7" s="2"/>
      <c r="G7" s="5">
        <f>IF(data[[#This Row],[Price ($)]]="",MEDIAN(data[Price ($)]),data[[#This Row],[Price ($)]])</f>
        <v>70</v>
      </c>
      <c r="H7" s="6" t="str">
        <f>IF(ISBLANK(data[Category]),"Unknown",data[Category])</f>
        <v>Unknown</v>
      </c>
      <c r="I7" t="str">
        <f t="shared" si="0"/>
        <v>Backpack</v>
      </c>
      <c r="J7" s="5" t="s">
        <v>158</v>
      </c>
      <c r="K7" s="2" t="s">
        <v>21</v>
      </c>
      <c r="L7" s="2" t="s">
        <v>21</v>
      </c>
      <c r="M7" t="s">
        <v>122</v>
      </c>
      <c r="N7" t="s">
        <v>106</v>
      </c>
      <c r="O7" s="12" t="str">
        <f>CONCATENATE(data[Brand Name]," ",data[Product Name])</f>
        <v>North Face Backpack</v>
      </c>
      <c r="P7" s="13">
        <v>70</v>
      </c>
      <c r="Q7" t="str">
        <f>TEXT(data[Manufacturing date],"DD-MM-YY")</f>
        <v>22-05-26</v>
      </c>
      <c r="R7" s="13">
        <v>70</v>
      </c>
      <c r="S7" s="5" t="s">
        <v>158</v>
      </c>
    </row>
    <row r="8" spans="1:19" ht="15.75" customHeight="1" x14ac:dyDescent="0.25">
      <c r="A8" s="3" t="s">
        <v>24</v>
      </c>
      <c r="B8" s="3" t="s">
        <v>25</v>
      </c>
      <c r="C8" s="3" t="s">
        <v>26</v>
      </c>
      <c r="D8" s="3"/>
      <c r="E8" s="3">
        <v>45</v>
      </c>
      <c r="F8" s="3" t="s">
        <v>27</v>
      </c>
      <c r="G8" s="7">
        <f>IF(data[[#This Row],[Price ($)]]="",MEDIAN(data[Price ($)]),data[[#This Row],[Price ($)]])</f>
        <v>130</v>
      </c>
      <c r="H8" s="5" t="str">
        <f>IF(ISBLANK(data[Category]),"Unknown",data[Category])</f>
        <v>Electroni</v>
      </c>
      <c r="I8" t="str">
        <f t="shared" si="0"/>
        <v>Headphones</v>
      </c>
      <c r="J8" s="6" t="s">
        <v>9</v>
      </c>
      <c r="K8" s="3" t="s">
        <v>24</v>
      </c>
      <c r="L8" s="3" t="s">
        <v>24</v>
      </c>
      <c r="M8" t="s">
        <v>123</v>
      </c>
      <c r="N8" t="s">
        <v>107</v>
      </c>
      <c r="O8" s="12" t="str">
        <f>CONCATENATE(data[Brand Name]," ",data[Product Name])</f>
        <v>Sony Headphones</v>
      </c>
      <c r="P8" s="13">
        <v>309.35483870967744</v>
      </c>
      <c r="Q8" t="str">
        <f>TEXT(data[Manufacturing date],"DD-MM-YY")</f>
        <v>07-06-26</v>
      </c>
      <c r="R8" s="13">
        <v>309.35483870967744</v>
      </c>
      <c r="S8" s="5" t="s">
        <v>9</v>
      </c>
    </row>
    <row r="9" spans="1:19" ht="15.75" customHeight="1" x14ac:dyDescent="0.25">
      <c r="A9" s="2" t="s">
        <v>28</v>
      </c>
      <c r="B9" s="2" t="s">
        <v>29</v>
      </c>
      <c r="C9" s="2" t="s">
        <v>30</v>
      </c>
      <c r="D9" s="2">
        <v>30</v>
      </c>
      <c r="E9" s="2">
        <v>5</v>
      </c>
      <c r="F9" s="2" t="s">
        <v>13</v>
      </c>
      <c r="G9" s="5">
        <f>IF(data[[#This Row],[Price ($)]]="",MEDIAN(data[Price ($)]),data[[#This Row],[Price ($)]])</f>
        <v>30</v>
      </c>
      <c r="H9" s="5" t="str">
        <f>IF(ISBLANK(data[Category]),"Unknown",data[Category])</f>
        <v>Fashion</v>
      </c>
      <c r="I9" t="str">
        <f t="shared" si="0"/>
        <v>T-Shirt</v>
      </c>
      <c r="J9" s="5" t="s">
        <v>13</v>
      </c>
      <c r="K9" s="2" t="s">
        <v>28</v>
      </c>
      <c r="L9" s="2" t="s">
        <v>28</v>
      </c>
      <c r="M9" t="s">
        <v>124</v>
      </c>
      <c r="N9" t="s">
        <v>107</v>
      </c>
      <c r="O9" s="12" t="str">
        <f>CONCATENATE(data[Brand Name]," ",data[Product Name])</f>
        <v>Adidas T-shirt</v>
      </c>
      <c r="P9" s="13">
        <v>30</v>
      </c>
      <c r="Q9" t="str">
        <f>TEXT(data[Manufacturing date],"DD-MM-YY")</f>
        <v>19-07-26</v>
      </c>
      <c r="R9" s="13">
        <v>30</v>
      </c>
      <c r="S9" s="5" t="s">
        <v>13</v>
      </c>
    </row>
    <row r="10" spans="1:19" ht="15.75" customHeight="1" x14ac:dyDescent="0.25">
      <c r="A10" s="3" t="s">
        <v>31</v>
      </c>
      <c r="B10" s="3" t="s">
        <v>32</v>
      </c>
      <c r="C10" s="3" t="s">
        <v>33</v>
      </c>
      <c r="D10" s="3">
        <v>90</v>
      </c>
      <c r="E10" s="3">
        <v>35</v>
      </c>
      <c r="F10" s="3" t="s">
        <v>17</v>
      </c>
      <c r="G10" s="5">
        <f>IF(data[[#This Row],[Price ($)]]="",MEDIAN(data[Price ($)]),data[[#This Row],[Price ($)]])</f>
        <v>90</v>
      </c>
      <c r="H10" s="5" t="str">
        <f>IF(ISBLANK(data[Category]),"Unknown",data[Category])</f>
        <v>Kitchen</v>
      </c>
      <c r="I10" t="str">
        <f t="shared" si="0"/>
        <v>Blender</v>
      </c>
      <c r="J10" s="5" t="s">
        <v>17</v>
      </c>
      <c r="K10" s="3" t="s">
        <v>31</v>
      </c>
      <c r="L10" s="3" t="s">
        <v>31</v>
      </c>
      <c r="M10" t="s">
        <v>125</v>
      </c>
      <c r="N10" t="s">
        <v>107</v>
      </c>
      <c r="O10" s="12" t="str">
        <f>CONCATENATE(data[Brand Name]," ",data[Product Name])</f>
        <v>Ninja Blender</v>
      </c>
      <c r="P10" s="13">
        <v>90</v>
      </c>
      <c r="Q10" t="str">
        <f>TEXT(data[Manufacturing date],"DD-MM-YY")</f>
        <v>23-08-26</v>
      </c>
      <c r="R10" s="13">
        <v>90</v>
      </c>
      <c r="S10" s="5" t="s">
        <v>17</v>
      </c>
    </row>
    <row r="11" spans="1:19" ht="15.75" customHeight="1" x14ac:dyDescent="0.25">
      <c r="A11" s="2" t="s">
        <v>34</v>
      </c>
      <c r="B11" s="2" t="s">
        <v>35</v>
      </c>
      <c r="C11" s="2" t="s">
        <v>36</v>
      </c>
      <c r="D11" s="2">
        <v>500</v>
      </c>
      <c r="E11" s="2">
        <v>50</v>
      </c>
      <c r="F11" s="2" t="s">
        <v>9</v>
      </c>
      <c r="G11" s="5">
        <f>IF(data[[#This Row],[Price ($)]]="",MEDIAN(data[Price ($)]),data[[#This Row],[Price ($)]])</f>
        <v>500</v>
      </c>
      <c r="H11" s="5" t="str">
        <f>IF(ISBLANK(data[Category]),"Unknown",data[Category])</f>
        <v>Electronics</v>
      </c>
      <c r="I11" t="str">
        <f t="shared" si="0"/>
        <v>Tablet</v>
      </c>
      <c r="J11" s="5" t="s">
        <v>9</v>
      </c>
      <c r="K11" s="2" t="s">
        <v>34</v>
      </c>
      <c r="L11" s="2" t="s">
        <v>34</v>
      </c>
      <c r="M11" t="s">
        <v>126</v>
      </c>
      <c r="N11" t="s">
        <v>107</v>
      </c>
      <c r="O11" s="12" t="str">
        <f>CONCATENATE(data[Brand Name]," ",data[Product Name])</f>
        <v>Apple Tablet</v>
      </c>
      <c r="P11" s="13">
        <v>500</v>
      </c>
      <c r="Q11" t="str">
        <f>TEXT(data[Manufacturing date],"DD-MM-YY")</f>
        <v>05-09-26</v>
      </c>
      <c r="R11" s="13">
        <v>500</v>
      </c>
      <c r="S11" s="5" t="s">
        <v>9</v>
      </c>
    </row>
    <row r="12" spans="1:19" ht="15.75" customHeight="1" x14ac:dyDescent="0.25">
      <c r="A12" s="3" t="s">
        <v>37</v>
      </c>
      <c r="B12" s="3" t="s">
        <v>38</v>
      </c>
      <c r="C12" s="3" t="s">
        <v>39</v>
      </c>
      <c r="D12" s="3">
        <v>130</v>
      </c>
      <c r="E12" s="3">
        <v>10</v>
      </c>
      <c r="F12" s="3" t="s">
        <v>40</v>
      </c>
      <c r="G12" s="5">
        <f>IF(data[[#This Row],[Price ($)]]="",MEDIAN(data[Price ($)]),data[[#This Row],[Price ($)]])</f>
        <v>130</v>
      </c>
      <c r="H12" s="5" t="str">
        <f>IF(ISBLANK(data[Category]),"Unknown",data[Category])</f>
        <v>Outdoor</v>
      </c>
      <c r="I12" t="str">
        <f t="shared" si="0"/>
        <v>Hiking Boots</v>
      </c>
      <c r="J12" s="5" t="s">
        <v>40</v>
      </c>
      <c r="K12" s="3" t="s">
        <v>37</v>
      </c>
      <c r="L12" s="3" t="s">
        <v>37</v>
      </c>
      <c r="M12" t="s">
        <v>127</v>
      </c>
      <c r="N12" t="s">
        <v>107</v>
      </c>
      <c r="O12" s="12" t="str">
        <f>CONCATENATE(data[Brand Name]," ",data[Product Name])</f>
        <v>Timberland Hiking Boots</v>
      </c>
      <c r="P12" s="13">
        <v>130</v>
      </c>
      <c r="Q12" t="str">
        <f>TEXT(data[Manufacturing date],"DD-MM-YY")</f>
        <v>14-10-26</v>
      </c>
      <c r="R12" s="13">
        <v>130</v>
      </c>
      <c r="S12" s="5" t="s">
        <v>40</v>
      </c>
    </row>
    <row r="13" spans="1:19" ht="15.75" customHeight="1" x14ac:dyDescent="0.25">
      <c r="A13" s="2" t="s">
        <v>41</v>
      </c>
      <c r="B13" s="2" t="s">
        <v>42</v>
      </c>
      <c r="C13" s="2" t="s">
        <v>43</v>
      </c>
      <c r="D13" s="2">
        <v>950</v>
      </c>
      <c r="E13" s="2">
        <v>25</v>
      </c>
      <c r="F13" s="2" t="s">
        <v>9</v>
      </c>
      <c r="G13" s="5">
        <f>IF(data[[#This Row],[Price ($)]]="",MEDIAN(data[Price ($)]),data[[#This Row],[Price ($)]])</f>
        <v>950</v>
      </c>
      <c r="H13" s="5" t="str">
        <f>IF(ISBLANK(data[Category]),"Unknown",data[Category])</f>
        <v>Electronics</v>
      </c>
      <c r="I13" s="4" t="str">
        <f t="shared" si="0"/>
        <v>Laptop</v>
      </c>
      <c r="J13" s="5" t="s">
        <v>9</v>
      </c>
      <c r="K13" s="2" t="s">
        <v>41</v>
      </c>
      <c r="L13" s="2" t="s">
        <v>41</v>
      </c>
      <c r="M13" t="s">
        <v>128</v>
      </c>
      <c r="N13" t="s">
        <v>108</v>
      </c>
      <c r="O13" s="12" t="str">
        <f>CONCATENATE(data[Brand Name]," ",data[Product Name])</f>
        <v>HP Laptop</v>
      </c>
      <c r="P13" s="13">
        <v>950</v>
      </c>
      <c r="Q13" t="str">
        <f>TEXT(data[Manufacturing date],"DD-MM-YY")</f>
        <v>17-06-26</v>
      </c>
      <c r="R13" s="13">
        <v>950</v>
      </c>
      <c r="S13" s="5" t="s">
        <v>9</v>
      </c>
    </row>
    <row r="14" spans="1:19" ht="15.75" customHeight="1" x14ac:dyDescent="0.25">
      <c r="A14" s="3" t="s">
        <v>44</v>
      </c>
      <c r="B14" s="3" t="s">
        <v>11</v>
      </c>
      <c r="C14" s="3" t="s">
        <v>30</v>
      </c>
      <c r="D14" s="3">
        <v>90</v>
      </c>
      <c r="E14" s="3">
        <v>40</v>
      </c>
      <c r="F14" s="3"/>
      <c r="G14" s="5">
        <f>IF(data[[#This Row],[Price ($)]]="",MEDIAN(data[Price ($)]),data[[#This Row],[Price ($)]])</f>
        <v>90</v>
      </c>
      <c r="H14" s="6" t="str">
        <f>IF(ISBLANK(data[Category]),"Unknown",data[Category])</f>
        <v>Unknown</v>
      </c>
      <c r="I14" t="str">
        <f t="shared" si="0"/>
        <v>Sneakers</v>
      </c>
      <c r="J14" s="5" t="s">
        <v>158</v>
      </c>
      <c r="K14" s="3" t="s">
        <v>44</v>
      </c>
      <c r="L14" s="3" t="s">
        <v>44</v>
      </c>
      <c r="M14" t="s">
        <v>129</v>
      </c>
      <c r="N14" t="s">
        <v>109</v>
      </c>
      <c r="O14" s="12" t="str">
        <f>CONCATENATE(data[Brand Name]," ",data[Product Name])</f>
        <v>Adidas Sneakers</v>
      </c>
      <c r="P14" s="13">
        <v>90</v>
      </c>
      <c r="Q14" t="str">
        <f>TEXT(data[Manufacturing date],"DD-MM-YY")</f>
        <v>25-11-26</v>
      </c>
      <c r="R14" s="13">
        <v>90</v>
      </c>
      <c r="S14" s="5" t="s">
        <v>158</v>
      </c>
    </row>
    <row r="15" spans="1:19" ht="15.75" customHeight="1" x14ac:dyDescent="0.25">
      <c r="A15" s="2" t="s">
        <v>45</v>
      </c>
      <c r="B15" s="2" t="s">
        <v>15</v>
      </c>
      <c r="C15" s="2" t="s">
        <v>46</v>
      </c>
      <c r="D15" s="2">
        <v>120</v>
      </c>
      <c r="E15" s="2">
        <v>35</v>
      </c>
      <c r="F15" s="2"/>
      <c r="G15" s="5">
        <f>IF(data[[#This Row],[Price ($)]]="",MEDIAN(data[Price ($)]),data[[#This Row],[Price ($)]])</f>
        <v>120</v>
      </c>
      <c r="H15" s="6" t="str">
        <f>IF(ISBLANK(data[Category]),"Unknown",data[Category])</f>
        <v>Unknown</v>
      </c>
      <c r="I15" t="str">
        <f t="shared" si="0"/>
        <v>Coffee Maker</v>
      </c>
      <c r="J15" s="5" t="s">
        <v>158</v>
      </c>
      <c r="K15" s="2" t="s">
        <v>45</v>
      </c>
      <c r="L15" s="2" t="s">
        <v>45</v>
      </c>
      <c r="M15" t="s">
        <v>130</v>
      </c>
      <c r="N15" t="s">
        <v>110</v>
      </c>
      <c r="O15" s="12" t="str">
        <f>CONCATENATE(data[Brand Name]," ",data[Product Name])</f>
        <v>Nespresso Coffee Maker</v>
      </c>
      <c r="P15" s="13">
        <v>120</v>
      </c>
      <c r="Q15" t="str">
        <f>TEXT(data[Manufacturing date],"DD-MM-YY")</f>
        <v>08-12-26</v>
      </c>
      <c r="R15" s="13">
        <v>120</v>
      </c>
      <c r="S15" s="5" t="s">
        <v>158</v>
      </c>
    </row>
    <row r="16" spans="1:19" ht="15.75" customHeight="1" x14ac:dyDescent="0.25">
      <c r="A16" s="3" t="s">
        <v>47</v>
      </c>
      <c r="B16" s="3" t="s">
        <v>48</v>
      </c>
      <c r="C16" s="3" t="s">
        <v>49</v>
      </c>
      <c r="D16" s="3">
        <v>150</v>
      </c>
      <c r="E16" s="3">
        <v>15</v>
      </c>
      <c r="F16" s="3" t="s">
        <v>27</v>
      </c>
      <c r="G16" s="5">
        <f>IF(data[[#This Row],[Price ($)]]="",MEDIAN(data[Price ($)]),data[[#This Row],[Price ($)]])</f>
        <v>150</v>
      </c>
      <c r="H16" s="5" t="str">
        <f>IF(ISBLANK(data[Category]),"Unknown",data[Category])</f>
        <v>Electroni</v>
      </c>
      <c r="I16" t="str">
        <f t="shared" si="0"/>
        <v>Smartwatch</v>
      </c>
      <c r="J16" s="6" t="s">
        <v>9</v>
      </c>
      <c r="K16" s="3" t="s">
        <v>47</v>
      </c>
      <c r="L16" s="3" t="s">
        <v>47</v>
      </c>
      <c r="M16" t="s">
        <v>131</v>
      </c>
      <c r="N16" t="s">
        <v>111</v>
      </c>
      <c r="O16" s="12" t="str">
        <f>CONCATENATE(data[Brand Name]," ",data[Product Name])</f>
        <v>Fitbit Smartwatch</v>
      </c>
      <c r="P16" s="13">
        <v>150</v>
      </c>
      <c r="Q16" t="str">
        <f>TEXT(data[Manufacturing date],"DD-MM-YY")</f>
        <v>18-02-26</v>
      </c>
      <c r="R16" s="13">
        <v>150</v>
      </c>
      <c r="S16" s="5" t="s">
        <v>9</v>
      </c>
    </row>
    <row r="17" spans="1:19" ht="15.75" customHeight="1" x14ac:dyDescent="0.25">
      <c r="A17" s="2" t="s">
        <v>50</v>
      </c>
      <c r="B17" s="2" t="s">
        <v>51</v>
      </c>
      <c r="C17" s="2" t="s">
        <v>52</v>
      </c>
      <c r="D17" s="2">
        <v>250</v>
      </c>
      <c r="E17" s="2">
        <v>20</v>
      </c>
      <c r="F17" s="2" t="s">
        <v>27</v>
      </c>
      <c r="G17" s="5">
        <f>IF(data[[#This Row],[Price ($)]]="",MEDIAN(data[Price ($)]),data[[#This Row],[Price ($)]])</f>
        <v>250</v>
      </c>
      <c r="H17" s="5" t="str">
        <f>IF(ISBLANK(data[Category]),"Unknown",data[Category])</f>
        <v>Electroni</v>
      </c>
      <c r="I17" t="str">
        <f t="shared" si="0"/>
        <v>Headphones</v>
      </c>
      <c r="J17" s="6" t="s">
        <v>9</v>
      </c>
      <c r="K17" s="2" t="s">
        <v>50</v>
      </c>
      <c r="L17" s="2" t="s">
        <v>50</v>
      </c>
      <c r="M17" t="s">
        <v>132</v>
      </c>
      <c r="N17" t="s">
        <v>112</v>
      </c>
      <c r="O17" s="12" t="str">
        <f>CONCATENATE(data[Brand Name]," ",data[Product Name])</f>
        <v>Bose headphones</v>
      </c>
      <c r="P17" s="13">
        <v>250</v>
      </c>
      <c r="Q17" t="str">
        <f>TEXT(data[Manufacturing date],"DD-MM-YY")</f>
        <v>16-04-26</v>
      </c>
      <c r="R17" s="13">
        <v>250</v>
      </c>
      <c r="S17" s="5" t="s">
        <v>9</v>
      </c>
    </row>
    <row r="18" spans="1:19" ht="15.75" customHeight="1" x14ac:dyDescent="0.25">
      <c r="A18" s="3" t="s">
        <v>53</v>
      </c>
      <c r="B18" s="3" t="s">
        <v>54</v>
      </c>
      <c r="C18" s="3" t="s">
        <v>55</v>
      </c>
      <c r="D18" s="3">
        <v>50</v>
      </c>
      <c r="E18" s="3">
        <v>35</v>
      </c>
      <c r="F18" s="3" t="s">
        <v>56</v>
      </c>
      <c r="G18" s="5">
        <f>IF(data[[#This Row],[Price ($)]]="",MEDIAN(data[Price ($)]),data[[#This Row],[Price ($)]])</f>
        <v>50</v>
      </c>
      <c r="H18" s="5" t="str">
        <f>IF(ISBLANK(data[Category]),"Unknown",data[Category])</f>
        <v>Accessories</v>
      </c>
      <c r="I18" t="str">
        <f t="shared" si="0"/>
        <v>Laptop Bag</v>
      </c>
      <c r="J18" s="5" t="s">
        <v>56</v>
      </c>
      <c r="K18" s="3" t="s">
        <v>53</v>
      </c>
      <c r="L18" s="3" t="s">
        <v>53</v>
      </c>
      <c r="M18" t="s">
        <v>133</v>
      </c>
      <c r="N18" t="s">
        <v>111</v>
      </c>
      <c r="O18" s="12" t="str">
        <f>CONCATENATE(data[Brand Name]," ",data[Product Name])</f>
        <v>Samsonite Laptop Bag</v>
      </c>
      <c r="P18" s="13">
        <v>50</v>
      </c>
      <c r="Q18" t="str">
        <f>TEXT(data[Manufacturing date],"DD-MM-YY")</f>
        <v>21-08-26</v>
      </c>
      <c r="R18" s="13">
        <v>50</v>
      </c>
      <c r="S18" s="5" t="s">
        <v>56</v>
      </c>
    </row>
    <row r="19" spans="1:19" ht="15.75" customHeight="1" x14ac:dyDescent="0.25">
      <c r="A19" s="2" t="s">
        <v>57</v>
      </c>
      <c r="B19" s="2" t="s">
        <v>48</v>
      </c>
      <c r="C19" s="2" t="s">
        <v>58</v>
      </c>
      <c r="D19" s="2">
        <v>160</v>
      </c>
      <c r="E19" s="2">
        <v>15</v>
      </c>
      <c r="F19" s="2" t="s">
        <v>27</v>
      </c>
      <c r="G19" s="5">
        <f>IF(data[[#This Row],[Price ($)]]="",MEDIAN(data[Price ($)]),data[[#This Row],[Price ($)]])</f>
        <v>160</v>
      </c>
      <c r="H19" s="5" t="str">
        <f>IF(ISBLANK(data[Category]),"Unknown",data[Category])</f>
        <v>Electroni</v>
      </c>
      <c r="I19" t="str">
        <f t="shared" si="0"/>
        <v>Smartwatch</v>
      </c>
      <c r="J19" s="6" t="s">
        <v>9</v>
      </c>
      <c r="K19" s="2" t="s">
        <v>57</v>
      </c>
      <c r="L19" s="2" t="s">
        <v>57</v>
      </c>
      <c r="M19" t="s">
        <v>134</v>
      </c>
      <c r="N19" t="s">
        <v>113</v>
      </c>
      <c r="O19" s="12" t="str">
        <f>CONCATENATE(data[Brand Name]," ",data[Product Name])</f>
        <v>Huawei Smartwatch</v>
      </c>
      <c r="P19" s="13">
        <v>160</v>
      </c>
      <c r="Q19" t="str">
        <f>TEXT(data[Manufacturing date],"DD-MM-YY")</f>
        <v>20-08-26</v>
      </c>
      <c r="R19" s="13">
        <v>160</v>
      </c>
      <c r="S19" s="5" t="s">
        <v>9</v>
      </c>
    </row>
    <row r="20" spans="1:19" ht="15.75" customHeight="1" x14ac:dyDescent="0.25">
      <c r="A20" s="3" t="s">
        <v>59</v>
      </c>
      <c r="B20" s="3" t="s">
        <v>7</v>
      </c>
      <c r="C20" s="3" t="s">
        <v>60</v>
      </c>
      <c r="D20" s="3">
        <v>980</v>
      </c>
      <c r="E20" s="3">
        <v>10</v>
      </c>
      <c r="F20" s="3" t="s">
        <v>9</v>
      </c>
      <c r="G20" s="5">
        <f>IF(data[[#This Row],[Price ($)]]="",MEDIAN(data[Price ($)]),data[[#This Row],[Price ($)]])</f>
        <v>980</v>
      </c>
      <c r="H20" s="5" t="str">
        <f>IF(ISBLANK(data[Category]),"Unknown",data[Category])</f>
        <v>Electronics</v>
      </c>
      <c r="I20" s="4" t="str">
        <f t="shared" si="0"/>
        <v>Laptop</v>
      </c>
      <c r="J20" s="5" t="s">
        <v>9</v>
      </c>
      <c r="K20" s="3" t="s">
        <v>59</v>
      </c>
      <c r="L20" s="3" t="s">
        <v>59</v>
      </c>
      <c r="M20" t="s">
        <v>135</v>
      </c>
      <c r="N20" t="s">
        <v>114</v>
      </c>
      <c r="O20" s="12" t="str">
        <f>CONCATENATE(data[Brand Name]," ",data[Product Name])</f>
        <v>Asus laptop</v>
      </c>
      <c r="P20" s="13">
        <v>980</v>
      </c>
      <c r="Q20" t="str">
        <f>TEXT(data[Manufacturing date],"DD-MM-YY")</f>
        <v>27-01-26</v>
      </c>
      <c r="R20" s="13">
        <v>980</v>
      </c>
      <c r="S20" s="5" t="s">
        <v>9</v>
      </c>
    </row>
    <row r="21" spans="1:19" ht="15.75" customHeight="1" x14ac:dyDescent="0.25">
      <c r="A21" s="2" t="s">
        <v>61</v>
      </c>
      <c r="B21" s="2" t="s">
        <v>62</v>
      </c>
      <c r="C21" s="2" t="s">
        <v>63</v>
      </c>
      <c r="D21" s="2">
        <v>150</v>
      </c>
      <c r="E21" s="2">
        <v>15</v>
      </c>
      <c r="F21" s="2" t="s">
        <v>13</v>
      </c>
      <c r="G21" s="5">
        <f>IF(data[[#This Row],[Price ($)]]="",MEDIAN(data[Price ($)]),data[[#This Row],[Price ($)]])</f>
        <v>150</v>
      </c>
      <c r="H21" s="5" t="str">
        <f>IF(ISBLANK(data[Category]),"Unknown",data[Category])</f>
        <v>Fashion</v>
      </c>
      <c r="I21" t="str">
        <f t="shared" si="0"/>
        <v>Sunglasses</v>
      </c>
      <c r="J21" s="5" t="s">
        <v>13</v>
      </c>
      <c r="K21" s="2" t="s">
        <v>61</v>
      </c>
      <c r="L21" s="2" t="s">
        <v>61</v>
      </c>
      <c r="M21" t="s">
        <v>136</v>
      </c>
      <c r="N21" t="s">
        <v>107</v>
      </c>
      <c r="O21" s="12" t="str">
        <f>CONCATENATE(data[Brand Name]," ",data[Product Name])</f>
        <v>Oakley Sunglasses</v>
      </c>
      <c r="P21" s="13">
        <v>150</v>
      </c>
      <c r="Q21" t="str">
        <f>TEXT(data[Manufacturing date],"DD-MM-YY")</f>
        <v>01-03-26</v>
      </c>
      <c r="R21" s="13">
        <v>150</v>
      </c>
      <c r="S21" s="5" t="s">
        <v>13</v>
      </c>
    </row>
    <row r="22" spans="1:19" ht="15.75" customHeight="1" x14ac:dyDescent="0.25">
      <c r="A22" s="3" t="s">
        <v>64</v>
      </c>
      <c r="B22" s="3" t="s">
        <v>65</v>
      </c>
      <c r="C22" s="3" t="s">
        <v>66</v>
      </c>
      <c r="D22" s="3"/>
      <c r="E22" s="3">
        <v>10</v>
      </c>
      <c r="F22" s="3" t="s">
        <v>40</v>
      </c>
      <c r="G22" s="7">
        <f>IF(data[[#This Row],[Price ($)]]="",MEDIAN(data[Price ($)]),data[[#This Row],[Price ($)]])</f>
        <v>130</v>
      </c>
      <c r="H22" s="5" t="str">
        <f>IF(ISBLANK(data[Category]),"Unknown",data[Category])</f>
        <v>Outdoor</v>
      </c>
      <c r="I22" t="str">
        <f t="shared" si="0"/>
        <v>Camping Tent</v>
      </c>
      <c r="J22" s="5" t="s">
        <v>40</v>
      </c>
      <c r="K22" s="3" t="s">
        <v>64</v>
      </c>
      <c r="L22" s="3" t="s">
        <v>64</v>
      </c>
      <c r="M22" t="s">
        <v>137</v>
      </c>
      <c r="N22" t="s">
        <v>106</v>
      </c>
      <c r="O22" s="12" t="str">
        <f>CONCATENATE(data[Brand Name]," ",data[Product Name])</f>
        <v>Coleman Camping Tent</v>
      </c>
      <c r="P22" s="13">
        <v>309.35483870967744</v>
      </c>
      <c r="Q22" t="str">
        <f>TEXT(data[Manufacturing date],"DD-MM-YY")</f>
        <v>14-08-26</v>
      </c>
      <c r="R22" s="13">
        <v>309.35483870967744</v>
      </c>
      <c r="S22" s="5" t="s">
        <v>40</v>
      </c>
    </row>
    <row r="23" spans="1:19" ht="15.75" customHeight="1" x14ac:dyDescent="0.25">
      <c r="A23" s="2" t="s">
        <v>67</v>
      </c>
      <c r="B23" s="2" t="s">
        <v>68</v>
      </c>
      <c r="C23" s="2" t="s">
        <v>69</v>
      </c>
      <c r="D23" s="2">
        <v>700</v>
      </c>
      <c r="E23" s="2">
        <v>50</v>
      </c>
      <c r="F23" s="2" t="s">
        <v>9</v>
      </c>
      <c r="G23" s="5">
        <f>IF(data[[#This Row],[Price ($)]]="",MEDIAN(data[Price ($)]),data[[#This Row],[Price ($)]])</f>
        <v>700</v>
      </c>
      <c r="H23" s="5" t="str">
        <f>IF(ISBLANK(data[Category]),"Unknown",data[Category])</f>
        <v>Electronics</v>
      </c>
      <c r="I23" t="str">
        <f t="shared" si="0"/>
        <v>Camera</v>
      </c>
      <c r="J23" s="5" t="s">
        <v>9</v>
      </c>
      <c r="K23" s="2" t="s">
        <v>67</v>
      </c>
      <c r="L23" s="2" t="s">
        <v>67</v>
      </c>
      <c r="M23" t="s">
        <v>138</v>
      </c>
      <c r="N23" t="s">
        <v>115</v>
      </c>
      <c r="O23" s="12" t="str">
        <f>CONCATENATE(data[Brand Name]," ",data[Product Name])</f>
        <v>Nikon Camera</v>
      </c>
      <c r="P23" s="13">
        <v>700</v>
      </c>
      <c r="Q23" t="str">
        <f>TEXT(data[Manufacturing date],"DD-MM-YY")</f>
        <v>14-05-26</v>
      </c>
      <c r="R23" s="13">
        <v>700</v>
      </c>
      <c r="S23" s="5" t="s">
        <v>9</v>
      </c>
    </row>
    <row r="24" spans="1:19" ht="15.75" customHeight="1" x14ac:dyDescent="0.25">
      <c r="A24" s="3" t="s">
        <v>70</v>
      </c>
      <c r="B24" s="3" t="s">
        <v>71</v>
      </c>
      <c r="C24" s="3" t="s">
        <v>72</v>
      </c>
      <c r="D24" s="3">
        <v>80</v>
      </c>
      <c r="E24" s="3">
        <v>20</v>
      </c>
      <c r="F24" s="3" t="s">
        <v>17</v>
      </c>
      <c r="G24" s="5">
        <f>IF(data[[#This Row],[Price ($)]]="",MEDIAN(data[Price ($)]),data[[#This Row],[Price ($)]])</f>
        <v>80</v>
      </c>
      <c r="H24" s="5" t="str">
        <f>IF(ISBLANK(data[Category]),"Unknown",data[Category])</f>
        <v>Kitchen</v>
      </c>
      <c r="I24" t="str">
        <f t="shared" si="0"/>
        <v>Microwave</v>
      </c>
      <c r="J24" s="5" t="s">
        <v>17</v>
      </c>
      <c r="K24" s="3" t="s">
        <v>70</v>
      </c>
      <c r="L24" s="3" t="s">
        <v>70</v>
      </c>
      <c r="M24" t="s">
        <v>139</v>
      </c>
      <c r="N24" t="s">
        <v>111</v>
      </c>
      <c r="O24" s="12" t="str">
        <f>CONCATENATE(data[Brand Name]," ",data[Product Name])</f>
        <v>Panasonic Microwave</v>
      </c>
      <c r="P24" s="13">
        <v>80</v>
      </c>
      <c r="Q24" t="str">
        <f>TEXT(data[Manufacturing date],"DD-MM-YY")</f>
        <v>09-01-26</v>
      </c>
      <c r="R24" s="13">
        <v>80</v>
      </c>
      <c r="S24" s="5" t="s">
        <v>17</v>
      </c>
    </row>
    <row r="25" spans="1:19" ht="15.75" customHeight="1" x14ac:dyDescent="0.25">
      <c r="A25" s="2" t="s">
        <v>73</v>
      </c>
      <c r="B25" s="2" t="s">
        <v>74</v>
      </c>
      <c r="C25" s="2" t="s">
        <v>75</v>
      </c>
      <c r="D25" s="2">
        <v>150</v>
      </c>
      <c r="E25" s="2">
        <v>30</v>
      </c>
      <c r="F25" s="2"/>
      <c r="G25" s="5">
        <f>IF(data[[#This Row],[Price ($)]]="",MEDIAN(data[Price ($)]),data[[#This Row],[Price ($)]])</f>
        <v>150</v>
      </c>
      <c r="H25" s="6" t="str">
        <f>IF(ISBLANK(data[Category]),"Unknown",data[Category])</f>
        <v>Unknown</v>
      </c>
      <c r="I25" t="str">
        <f t="shared" si="0"/>
        <v>Fitness Tracker</v>
      </c>
      <c r="J25" s="5" t="s">
        <v>158</v>
      </c>
      <c r="K25" s="2" t="s">
        <v>73</v>
      </c>
      <c r="L25" s="2" t="s">
        <v>73</v>
      </c>
      <c r="M25" t="s">
        <v>124</v>
      </c>
      <c r="N25" t="s">
        <v>116</v>
      </c>
      <c r="O25" s="12" t="str">
        <f>CONCATENATE(data[Brand Name]," ",data[Product Name])</f>
        <v>Xiaomi Fitness Tracker</v>
      </c>
      <c r="P25" s="13">
        <v>150</v>
      </c>
      <c r="Q25" t="str">
        <f>TEXT(data[Manufacturing date],"DD-MM-YY")</f>
        <v>19-07-26</v>
      </c>
      <c r="R25" s="13">
        <v>150</v>
      </c>
      <c r="S25" s="5" t="s">
        <v>158</v>
      </c>
    </row>
    <row r="26" spans="1:19" ht="15.75" customHeight="1" x14ac:dyDescent="0.25">
      <c r="A26" s="3" t="s">
        <v>53</v>
      </c>
      <c r="B26" s="3" t="s">
        <v>54</v>
      </c>
      <c r="C26" s="3" t="s">
        <v>55</v>
      </c>
      <c r="D26" s="3">
        <v>50</v>
      </c>
      <c r="E26" s="3">
        <v>35</v>
      </c>
      <c r="F26" s="3" t="s">
        <v>56</v>
      </c>
      <c r="G26" s="5">
        <f>IF(data[[#This Row],[Price ($)]]="",MEDIAN(data[Price ($)]),data[[#This Row],[Price ($)]])</f>
        <v>50</v>
      </c>
      <c r="H26" s="5" t="str">
        <f>IF(ISBLANK(data[Category]),"Unknown",data[Category])</f>
        <v>Accessories</v>
      </c>
      <c r="I26" t="str">
        <f t="shared" si="0"/>
        <v>Laptop Bag</v>
      </c>
      <c r="J26" s="5" t="s">
        <v>56</v>
      </c>
      <c r="K26" s="3" t="s">
        <v>53</v>
      </c>
      <c r="L26" s="3"/>
      <c r="M26" t="s">
        <v>133</v>
      </c>
      <c r="N26" t="s">
        <v>111</v>
      </c>
      <c r="O26" s="12" t="str">
        <f>CONCATENATE(data[Brand Name]," ",data[Product Name])</f>
        <v>Samsonite Laptop Bag</v>
      </c>
      <c r="P26" s="13">
        <v>50</v>
      </c>
      <c r="Q26" t="str">
        <f>TEXT(data[Manufacturing date],"DD-MM-YY")</f>
        <v>21-08-26</v>
      </c>
      <c r="R26" s="13">
        <v>50</v>
      </c>
      <c r="S26" s="5" t="s">
        <v>56</v>
      </c>
    </row>
    <row r="27" spans="1:19" ht="15.75" customHeight="1" x14ac:dyDescent="0.25">
      <c r="A27" s="2" t="s">
        <v>76</v>
      </c>
      <c r="B27" s="2" t="s">
        <v>77</v>
      </c>
      <c r="C27" s="2" t="s">
        <v>78</v>
      </c>
      <c r="D27" s="2">
        <v>800</v>
      </c>
      <c r="E27" s="2">
        <v>45</v>
      </c>
      <c r="F27" s="2" t="s">
        <v>9</v>
      </c>
      <c r="G27" s="5">
        <f>IF(data[[#This Row],[Price ($)]]="",MEDIAN(data[Price ($)]),data[[#This Row],[Price ($)]])</f>
        <v>800</v>
      </c>
      <c r="H27" s="5" t="str">
        <f>IF(ISBLANK(data[Category]),"Unknown",data[Category])</f>
        <v>Electronics</v>
      </c>
      <c r="I27" s="4" t="str">
        <f t="shared" si="0"/>
        <v>Smartphone</v>
      </c>
      <c r="J27" s="5" t="s">
        <v>9</v>
      </c>
      <c r="K27" s="2" t="s">
        <v>76</v>
      </c>
      <c r="L27" s="2" t="s">
        <v>76</v>
      </c>
      <c r="M27" t="s">
        <v>140</v>
      </c>
      <c r="N27" t="s">
        <v>111</v>
      </c>
      <c r="O27" s="12" t="str">
        <f>CONCATENATE(data[Brand Name]," ",data[Product Name])</f>
        <v>Google Smartphone</v>
      </c>
      <c r="P27" s="13">
        <v>800</v>
      </c>
      <c r="Q27" t="str">
        <f>TEXT(data[Manufacturing date],"DD-MM-YY")</f>
        <v>29-09-26</v>
      </c>
      <c r="R27" s="13">
        <v>800</v>
      </c>
      <c r="S27" s="5" t="s">
        <v>9</v>
      </c>
    </row>
    <row r="28" spans="1:19" ht="15.75" customHeight="1" x14ac:dyDescent="0.25">
      <c r="A28" s="3" t="s">
        <v>79</v>
      </c>
      <c r="B28" s="3" t="s">
        <v>62</v>
      </c>
      <c r="C28" s="3" t="s">
        <v>80</v>
      </c>
      <c r="D28" s="3"/>
      <c r="E28" s="3">
        <v>25</v>
      </c>
      <c r="F28" s="3" t="s">
        <v>13</v>
      </c>
      <c r="G28" s="7">
        <f>IF(data[[#This Row],[Price ($)]]="",MEDIAN(data[Price ($)]),data[[#This Row],[Price ($)]])</f>
        <v>130</v>
      </c>
      <c r="H28" s="5" t="str">
        <f>IF(ISBLANK(data[Category]),"Unknown",data[Category])</f>
        <v>Fashion</v>
      </c>
      <c r="I28" t="str">
        <f t="shared" si="0"/>
        <v>Sunglasses</v>
      </c>
      <c r="J28" s="5" t="s">
        <v>13</v>
      </c>
      <c r="K28" s="3" t="s">
        <v>79</v>
      </c>
      <c r="L28" s="3" t="s">
        <v>79</v>
      </c>
      <c r="M28" t="s">
        <v>141</v>
      </c>
      <c r="N28" t="s">
        <v>111</v>
      </c>
      <c r="O28" s="12" t="str">
        <f>CONCATENATE(data[Brand Name]," ",data[Product Name])</f>
        <v>Ray-Ban Sunglasses</v>
      </c>
      <c r="P28" s="13">
        <v>309.35483870967744</v>
      </c>
      <c r="Q28" t="str">
        <f>TEXT(data[Manufacturing date],"DD-MM-YY")</f>
        <v>03-06-26</v>
      </c>
      <c r="R28" s="13">
        <v>309.35483870967744</v>
      </c>
      <c r="S28" s="5" t="s">
        <v>13</v>
      </c>
    </row>
    <row r="29" spans="1:19" ht="15.75" customHeight="1" x14ac:dyDescent="0.25">
      <c r="A29" s="2" t="s">
        <v>81</v>
      </c>
      <c r="B29" s="2" t="s">
        <v>32</v>
      </c>
      <c r="C29" s="2" t="s">
        <v>82</v>
      </c>
      <c r="D29" s="2">
        <v>400</v>
      </c>
      <c r="E29" s="2">
        <v>40</v>
      </c>
      <c r="F29" s="2" t="s">
        <v>17</v>
      </c>
      <c r="G29" s="5">
        <f>IF(data[[#This Row],[Price ($)]]="",MEDIAN(data[Price ($)]),data[[#This Row],[Price ($)]])</f>
        <v>400</v>
      </c>
      <c r="H29" s="5" t="str">
        <f>IF(ISBLANK(data[Category]),"Unknown",data[Category])</f>
        <v>Kitchen</v>
      </c>
      <c r="I29" t="str">
        <f t="shared" si="0"/>
        <v>Blender</v>
      </c>
      <c r="J29" s="5" t="s">
        <v>17</v>
      </c>
      <c r="K29" s="2" t="s">
        <v>81</v>
      </c>
      <c r="L29" s="2" t="s">
        <v>81</v>
      </c>
      <c r="M29" t="s">
        <v>142</v>
      </c>
      <c r="N29" t="s">
        <v>111</v>
      </c>
      <c r="O29" s="12" t="str">
        <f>CONCATENATE(data[Brand Name]," ",data[Product Name])</f>
        <v>Vitamix Blender</v>
      </c>
      <c r="P29" s="13">
        <v>400</v>
      </c>
      <c r="Q29" t="str">
        <f>TEXT(data[Manufacturing date],"DD-MM-YY")</f>
        <v>11-07-26</v>
      </c>
      <c r="R29" s="13">
        <v>400</v>
      </c>
      <c r="S29" s="5" t="s">
        <v>17</v>
      </c>
    </row>
    <row r="30" spans="1:19" ht="15.75" customHeight="1" x14ac:dyDescent="0.25">
      <c r="A30" s="3" t="s">
        <v>50</v>
      </c>
      <c r="B30" s="3" t="s">
        <v>51</v>
      </c>
      <c r="C30" s="3" t="s">
        <v>52</v>
      </c>
      <c r="D30" s="3">
        <v>250</v>
      </c>
      <c r="E30" s="3">
        <v>20</v>
      </c>
      <c r="F30" s="3" t="s">
        <v>27</v>
      </c>
      <c r="G30" s="5">
        <f>IF(data[[#This Row],[Price ($)]]="",MEDIAN(data[Price ($)]),data[[#This Row],[Price ($)]])</f>
        <v>250</v>
      </c>
      <c r="H30" s="5" t="str">
        <f>IF(ISBLANK(data[Category]),"Unknown",data[Category])</f>
        <v>Electroni</v>
      </c>
      <c r="I30" t="str">
        <f t="shared" si="0"/>
        <v>Headphones</v>
      </c>
      <c r="J30" s="6" t="s">
        <v>9</v>
      </c>
      <c r="K30" s="3" t="s">
        <v>50</v>
      </c>
      <c r="L30" s="3"/>
      <c r="M30" t="s">
        <v>132</v>
      </c>
      <c r="N30" t="s">
        <v>112</v>
      </c>
      <c r="O30" s="12" t="str">
        <f>CONCATENATE(data[Brand Name]," ",data[Product Name])</f>
        <v>Bose headphones</v>
      </c>
      <c r="P30" s="13">
        <v>250</v>
      </c>
      <c r="Q30" t="str">
        <f>TEXT(data[Manufacturing date],"DD-MM-YY")</f>
        <v>16-04-26</v>
      </c>
      <c r="R30" s="13">
        <v>250</v>
      </c>
      <c r="S30" s="5" t="s">
        <v>9</v>
      </c>
    </row>
    <row r="31" spans="1:19" ht="15.75" customHeight="1" x14ac:dyDescent="0.25">
      <c r="A31" s="2" t="s">
        <v>83</v>
      </c>
      <c r="B31" s="2" t="s">
        <v>84</v>
      </c>
      <c r="C31" s="2" t="s">
        <v>85</v>
      </c>
      <c r="D31" s="2">
        <v>60</v>
      </c>
      <c r="E31" s="2">
        <v>30</v>
      </c>
      <c r="F31" s="2" t="s">
        <v>13</v>
      </c>
      <c r="G31" s="5">
        <f>IF(data[[#This Row],[Price ($)]]="",MEDIAN(data[Price ($)]),data[[#This Row],[Price ($)]])</f>
        <v>60</v>
      </c>
      <c r="H31" s="5" t="str">
        <f>IF(ISBLANK(data[Category]),"Unknown",data[Category])</f>
        <v>Fashion</v>
      </c>
      <c r="I31" t="str">
        <f t="shared" si="0"/>
        <v>Dress</v>
      </c>
      <c r="J31" s="5" t="s">
        <v>13</v>
      </c>
      <c r="K31" s="2" t="s">
        <v>83</v>
      </c>
      <c r="L31" s="2" t="s">
        <v>83</v>
      </c>
      <c r="M31" t="s">
        <v>143</v>
      </c>
      <c r="N31" t="s">
        <v>111</v>
      </c>
      <c r="O31" s="12" t="str">
        <f>CONCATENATE(data[Brand Name]," ",data[Product Name])</f>
        <v>Zara Dress</v>
      </c>
      <c r="P31" s="13">
        <v>60</v>
      </c>
      <c r="Q31" t="str">
        <f>TEXT(data[Manufacturing date],"DD-MM-YY")</f>
        <v>07-03-26</v>
      </c>
      <c r="R31" s="13">
        <v>60</v>
      </c>
      <c r="S31" s="5" t="s">
        <v>13</v>
      </c>
    </row>
    <row r="32" spans="1:19" ht="15.75" customHeight="1" x14ac:dyDescent="0.25">
      <c r="A32" s="3" t="s">
        <v>86</v>
      </c>
      <c r="B32" s="3" t="s">
        <v>87</v>
      </c>
      <c r="C32" s="3" t="s">
        <v>88</v>
      </c>
      <c r="D32" s="3">
        <v>40</v>
      </c>
      <c r="E32" s="3">
        <v>10</v>
      </c>
      <c r="F32" s="3" t="s">
        <v>17</v>
      </c>
      <c r="G32" s="5">
        <f>IF(data[[#This Row],[Price ($)]]="",MEDIAN(data[Price ($)]),data[[#This Row],[Price ($)]])</f>
        <v>40</v>
      </c>
      <c r="H32" s="5" t="str">
        <f>IF(ISBLANK(data[Category]),"Unknown",data[Category])</f>
        <v>Kitchen</v>
      </c>
      <c r="I32" t="str">
        <f t="shared" si="0"/>
        <v>Toaster</v>
      </c>
      <c r="J32" s="5" t="s">
        <v>17</v>
      </c>
      <c r="K32" s="3" t="s">
        <v>86</v>
      </c>
      <c r="L32" s="3" t="s">
        <v>86</v>
      </c>
      <c r="M32" t="s">
        <v>144</v>
      </c>
      <c r="N32" t="s">
        <v>111</v>
      </c>
      <c r="O32" s="12" t="str">
        <f>CONCATENATE(data[Brand Name]," ",data[Product Name])</f>
        <v>Hamilton Toaster</v>
      </c>
      <c r="P32" s="13">
        <v>40</v>
      </c>
      <c r="Q32" t="str">
        <f>TEXT(data[Manufacturing date],"DD-MM-YY")</f>
        <v>13-04-26</v>
      </c>
      <c r="R32" s="13">
        <v>40</v>
      </c>
      <c r="S32" s="5" t="s">
        <v>17</v>
      </c>
    </row>
    <row r="33" spans="1:19" ht="15.75" customHeight="1" x14ac:dyDescent="0.25">
      <c r="A33" s="2" t="s">
        <v>89</v>
      </c>
      <c r="B33" s="2" t="s">
        <v>74</v>
      </c>
      <c r="C33" s="2" t="s">
        <v>90</v>
      </c>
      <c r="D33" s="2">
        <v>130</v>
      </c>
      <c r="E33" s="2">
        <v>5</v>
      </c>
      <c r="F33" s="2" t="s">
        <v>9</v>
      </c>
      <c r="G33" s="5">
        <f>IF(data[[#This Row],[Price ($)]]="",MEDIAN(data[Price ($)]),data[[#This Row],[Price ($)]])</f>
        <v>130</v>
      </c>
      <c r="H33" s="5" t="str">
        <f>IF(ISBLANK(data[Category]),"Unknown",data[Category])</f>
        <v>Electronics</v>
      </c>
      <c r="I33" t="str">
        <f t="shared" si="0"/>
        <v>Fitness Tracker</v>
      </c>
      <c r="J33" s="5" t="s">
        <v>9</v>
      </c>
      <c r="K33" s="2" t="s">
        <v>89</v>
      </c>
      <c r="L33" s="2" t="s">
        <v>89</v>
      </c>
      <c r="M33" t="s">
        <v>145</v>
      </c>
      <c r="N33" t="s">
        <v>111</v>
      </c>
      <c r="O33" s="12" t="str">
        <f>CONCATENATE(data[Brand Name]," ",data[Product Name])</f>
        <v>Garmin Fitness Tracker</v>
      </c>
      <c r="P33" s="13">
        <v>130</v>
      </c>
      <c r="Q33" t="str">
        <f>TEXT(data[Manufacturing date],"DD-MM-YY")</f>
        <v>24-05-26</v>
      </c>
      <c r="R33" s="13">
        <v>130</v>
      </c>
      <c r="S33" s="5" t="s">
        <v>9</v>
      </c>
    </row>
    <row r="34" spans="1:19" ht="15.75" customHeight="1" x14ac:dyDescent="0.25">
      <c r="A34" s="3" t="s">
        <v>91</v>
      </c>
      <c r="B34" s="3" t="s">
        <v>92</v>
      </c>
      <c r="C34" s="3" t="s">
        <v>93</v>
      </c>
      <c r="D34" s="3">
        <v>50</v>
      </c>
      <c r="E34" s="3">
        <v>50</v>
      </c>
      <c r="F34" s="3" t="s">
        <v>13</v>
      </c>
      <c r="G34" s="5">
        <f>IF(data[[#This Row],[Price ($)]]="",MEDIAN(data[Price ($)]),data[[#This Row],[Price ($)]])</f>
        <v>50</v>
      </c>
      <c r="H34" s="5" t="str">
        <f>IF(ISBLANK(data[Category]),"Unknown",data[Category])</f>
        <v>Fashion</v>
      </c>
      <c r="I34" t="str">
        <f t="shared" si="0"/>
        <v>Jeans</v>
      </c>
      <c r="J34" s="5" t="s">
        <v>13</v>
      </c>
      <c r="K34" s="3" t="s">
        <v>91</v>
      </c>
      <c r="L34" s="3" t="s">
        <v>91</v>
      </c>
      <c r="M34" t="s">
        <v>146</v>
      </c>
      <c r="N34" t="s">
        <v>111</v>
      </c>
      <c r="O34" s="12" t="str">
        <f>CONCATENATE(data[Brand Name]," ",data[Product Name])</f>
        <v>Levi's Jeans</v>
      </c>
      <c r="P34" s="13">
        <v>50</v>
      </c>
      <c r="Q34" t="str">
        <f>TEXT(data[Manufacturing date],"DD-MM-YY")</f>
        <v>02-12-26</v>
      </c>
      <c r="R34" s="13">
        <v>50</v>
      </c>
      <c r="S34" s="5" t="s">
        <v>13</v>
      </c>
    </row>
    <row r="35" spans="1:19" ht="15.75" customHeight="1" x14ac:dyDescent="0.25">
      <c r="A35" s="2" t="s">
        <v>41</v>
      </c>
      <c r="B35" s="2" t="s">
        <v>42</v>
      </c>
      <c r="C35" s="2" t="s">
        <v>43</v>
      </c>
      <c r="D35" s="2">
        <v>950</v>
      </c>
      <c r="E35" s="2">
        <v>25</v>
      </c>
      <c r="F35" s="2" t="s">
        <v>9</v>
      </c>
      <c r="G35" s="5">
        <f>IF(data[[#This Row],[Price ($)]]="",MEDIAN(data[Price ($)]),data[[#This Row],[Price ($)]])</f>
        <v>950</v>
      </c>
      <c r="H35" s="5" t="str">
        <f>IF(ISBLANK(data[Category]),"Unknown",data[Category])</f>
        <v>Electronics</v>
      </c>
      <c r="I35" s="4" t="str">
        <f t="shared" si="0"/>
        <v>Laptop</v>
      </c>
      <c r="J35" s="5" t="s">
        <v>9</v>
      </c>
      <c r="K35" s="2" t="s">
        <v>41</v>
      </c>
      <c r="L35" s="2"/>
      <c r="M35" t="s">
        <v>128</v>
      </c>
      <c r="N35" t="s">
        <v>108</v>
      </c>
      <c r="O35" s="12" t="str">
        <f>CONCATENATE(data[Brand Name]," ",data[Product Name])</f>
        <v>HP Laptop</v>
      </c>
      <c r="P35" s="13">
        <v>950</v>
      </c>
      <c r="Q35" t="str">
        <f>TEXT(data[Manufacturing date],"DD-MM-YY")</f>
        <v>17-06-26</v>
      </c>
      <c r="R35" s="13">
        <v>950</v>
      </c>
      <c r="S35" s="5" t="s">
        <v>9</v>
      </c>
    </row>
    <row r="36" spans="1:19" ht="15.75" customHeight="1" x14ac:dyDescent="0.25">
      <c r="A36" s="3" t="s">
        <v>94</v>
      </c>
      <c r="B36" s="3" t="s">
        <v>95</v>
      </c>
      <c r="C36" s="3" t="s">
        <v>96</v>
      </c>
      <c r="D36" s="3">
        <v>100</v>
      </c>
      <c r="E36" s="3">
        <v>20</v>
      </c>
      <c r="F36" s="3" t="s">
        <v>56</v>
      </c>
      <c r="G36" s="5">
        <f>IF(data[[#This Row],[Price ($)]]="",MEDIAN(data[Price ($)]),data[[#This Row],[Price ($)]])</f>
        <v>100</v>
      </c>
      <c r="H36" s="5" t="str">
        <f>IF(ISBLANK(data[Category]),"Unknown",data[Category])</f>
        <v>Accessories</v>
      </c>
      <c r="I36" t="str">
        <f t="shared" si="0"/>
        <v>Watch</v>
      </c>
      <c r="J36" s="5" t="s">
        <v>56</v>
      </c>
      <c r="K36" s="3" t="s">
        <v>94</v>
      </c>
      <c r="L36" s="3" t="s">
        <v>94</v>
      </c>
      <c r="M36" t="s">
        <v>147</v>
      </c>
      <c r="N36" t="s">
        <v>117</v>
      </c>
      <c r="O36" s="12" t="str">
        <f>CONCATENATE(data[Brand Name]," ",data[Product Name])</f>
        <v>Casio Watch</v>
      </c>
      <c r="P36" s="13">
        <v>100</v>
      </c>
      <c r="Q36" t="str">
        <f>TEXT(data[Manufacturing date],"DD-MM-YY")</f>
        <v>09-07-26</v>
      </c>
      <c r="R36" s="13">
        <v>100</v>
      </c>
      <c r="S36" s="5" t="s">
        <v>56</v>
      </c>
    </row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R1:S1"/>
    <mergeCell ref="G1:H1"/>
    <mergeCell ref="I1:J1"/>
    <mergeCell ref="K1:L1"/>
    <mergeCell ref="M1:O1"/>
    <mergeCell ref="P1:Q1"/>
  </mergeCells>
  <phoneticPr fontId="7" type="noConversion"/>
  <conditionalFormatting sqref="K2:K1048576">
    <cfRule type="duplicateValues" dxfId="3" priority="6"/>
  </conditionalFormatting>
  <conditionalFormatting sqref="L2:L36">
    <cfRule type="duplicateValues" dxfId="2" priority="5"/>
  </conditionalFormatting>
  <conditionalFormatting sqref="R2:R3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:S1048576">
    <cfRule type="containsText" dxfId="1" priority="2" operator="containsText" text="Electronics">
      <formula>NOT(ISERROR(SEARCH("Electronics",S1)))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B2CE4B-E450-4E97-920C-807BDEA33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2026-06-14T16:08:04Z</dcterms:modified>
</cp:coreProperties>
</file>